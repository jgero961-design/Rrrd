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Summary" sheetId="2" r:id="rId2"/>
    <sheet name="MonthlyProjection" sheetId="3" r:id="rId3"/>
    <sheet name="Sensitivity" sheetId="4" r:id="rId4"/>
    <sheet name="CapTable" sheetId="5" r:id="rId5"/>
  </sheets>
  <calcPr calcId="124519" fullCalcOnLoad="1"/>
</workbook>
</file>

<file path=xl/sharedStrings.xml><?xml version="1.0" encoding="utf-8"?>
<sst xmlns="http://schemas.openxmlformats.org/spreadsheetml/2006/main" count="53" uniqueCount="51">
  <si>
    <t>Financial Model Inputs</t>
  </si>
  <si>
    <t>Number of units</t>
  </si>
  <si>
    <t>Average Daily Rate (ADR) — GEL</t>
  </si>
  <si>
    <t>Occupancy rate</t>
  </si>
  <si>
    <t>Operating expenses (% of gross)</t>
  </si>
  <si>
    <t>Management fee (% of gross)</t>
  </si>
  <si>
    <t>CAPEX (low) — GEL</t>
  </si>
  <si>
    <t>CAPEX (high) — GEL</t>
  </si>
  <si>
    <t>Summary Outputs</t>
  </si>
  <si>
    <t>Nights per unit per year</t>
  </si>
  <si>
    <t>Booked nights per unit</t>
  </si>
  <si>
    <t>Revenue per unit (GEL)</t>
  </si>
  <si>
    <t>Total gross revenue (GEL)</t>
  </si>
  <si>
    <t>Operating expenses (GEL)</t>
  </si>
  <si>
    <t>Operating expenses (GEL) — 30% of gross</t>
  </si>
  <si>
    <t>Management fee (GEL) — 10% of gross</t>
  </si>
  <si>
    <t>Net distributable cash (GEL)</t>
  </si>
  <si>
    <t>Implied annual ROI on CAPEX midpoint</t>
  </si>
  <si>
    <t>Monthly Projection (equalized for demo)</t>
  </si>
  <si>
    <t>Month</t>
  </si>
  <si>
    <t>Gross Revenue</t>
  </si>
  <si>
    <t>Operating Expenses</t>
  </si>
  <si>
    <t>Management Fee</t>
  </si>
  <si>
    <t>Annual Gross (link)</t>
  </si>
  <si>
    <t>Annual OPEX (link)</t>
  </si>
  <si>
    <t>Annual Mgmt (link)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</si>
  <si>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</si>
  <si>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</si>
  <si>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</si>
  <si>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</si>
  <si>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</si>
  <si>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</si>
  <si>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</si>
  <si>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</si>
  <si>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</si>
  <si>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</si>
  <si>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</si>
  <si>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</si>
  <si>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Net Distributable (per month)</t>
  </si>
  <si>
    <t>Sensitivity: Net Distributable GEL vs ADR/Occupancy</t>
  </si>
  <si>
    <t>ADR ₾120</t>
  </si>
  <si>
    <t>ADR ₾150</t>
  </si>
  <si>
    <t>ADR ₾180</t>
  </si>
  <si>
    <t>ADR ₾210</t>
  </si>
  <si>
    <t>Occ 60%</t>
  </si>
  <si>
    <t>Occ 75%</t>
  </si>
  <si>
    <t>Occ 90%</t>
  </si>
  <si>
    <t>Cap Table &amp; Payout Calculator</t>
  </si>
  <si>
    <t>Ownership % (enter)</t>
  </si>
  <si>
    <t>Monthly Payout (GEL)</t>
  </si>
  <si>
    <t>Example: 1% share monthly payout (excerpt)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</si>
</sst>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 [$₾-420]"/>
    <numFmt numFmtId="166" formatCode="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36.7109375" customWidth="1"/>
    <col min="2" max="2" width="18.7109375" customWidth="1"/>
  </cols>
  <sheetData>
    <row r="1" spans="1:2">
      <c r="A1" s="1" t="s">
        <v>0</v>
      </c>
    </row>
    <row r="3" spans="1:2">
      <c r="A3" t="s">
        <v>1</v>
      </c>
      <c r="B3" s="2">
        <v>12</v>
      </c>
    </row>
    <row r="4" spans="1:2">
      <c r="A4" t="s">
        <v>2</v>
      </c>
      <c r="B4" s="3">
        <v>150</v>
      </c>
    </row>
    <row r="5" spans="1:2">
      <c r="A5" t="s">
        <v>3</v>
      </c>
      <c r="B5" s="4">
        <v>0.75</v>
      </c>
    </row>
    <row r="6" spans="1:2">
      <c r="A6" t="s">
        <v>4</v>
      </c>
      <c r="B6" s="4">
        <v>0.3</v>
      </c>
    </row>
    <row r="7" spans="1:2">
      <c r="A7" t="s">
        <v>5</v>
      </c>
      <c r="B7" s="4">
        <v>0.1</v>
      </c>
    </row>
    <row r="8" spans="1:2">
      <c r="A8" t="s">
        <v>6</v>
      </c>
      <c r="B8" s="3">
        <v>385000</v>
      </c>
    </row>
    <row r="9" spans="1:2">
      <c r="A9" t="s">
        <v>7</v>
      </c>
      <c r="B9" s="3">
        <v>728000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8</v>
      </c>
    </row>
    <row r="3" spans="1:2">
      <c r="A3" s="5" t="s">
        <v>9</v>
      </c>
      <c r="B3" s="2">
        <v>365</v>
      </c>
    </row>
    <row r="4" spans="1:2">
      <c r="A4" s="5" t="s">
        <v>10</v>
      </c>
      <c r="B4" s="2">
        <f>B3*Inputs!B4</f>
        <v>0</v>
      </c>
    </row>
    <row r="5" spans="1:2">
      <c r="A5" s="5" t="s">
        <v>11</v>
      </c>
      <c r="B5" s="3">
        <f>Inputs!B3*B4</f>
        <v>0</v>
      </c>
    </row>
    <row r="6" spans="1:2">
      <c r="A6" s="5" t="s">
        <v>12</v>
      </c>
      <c r="B6" s="3">
        <f>Inputs!B2*B5</f>
        <v>0</v>
      </c>
    </row>
    <row r="8" spans="1:2">
      <c r="A8" s="5" t="s">
        <v>13</v>
      </c>
      <c r="B8" s="3">
        <f>Inputs!B5*Inputs!B2*Inputs!B5/Inputs!B3</f>
        <v>0</v>
      </c>
    </row>
    <row r="9" spans="1:2">
      <c r="A9" s="5" t="s">
        <v>14</v>
      </c>
      <c r="B9" s="3">
        <f>B6*Inputs!B5</f>
        <v>0</v>
      </c>
    </row>
    <row r="10" spans="1:2">
      <c r="A10" s="5" t="s">
        <v>15</v>
      </c>
      <c r="B10" s="3">
        <f>B6*Inputs!B6</f>
        <v>0</v>
      </c>
    </row>
    <row r="12" spans="1:2">
      <c r="A12" s="1" t="s">
        <v>16</v>
      </c>
      <c r="B12" s="3">
        <f>B6-B9-B10</f>
        <v>0</v>
      </c>
    </row>
    <row r="14" spans="1:2">
      <c r="A14" s="5" t="s">
        <v>6</v>
      </c>
      <c r="B14" s="3">
        <f>Inputs!B7</f>
        <v>0</v>
      </c>
    </row>
    <row r="15" spans="1:2">
      <c r="A15" s="5" t="s">
        <v>7</v>
      </c>
      <c r="B15" s="3">
        <f>Inputs!B8</f>
        <v>0</v>
      </c>
    </row>
    <row r="17" spans="1:2">
      <c r="A17" s="5" t="s">
        <v>17</v>
      </c>
      <c r="B17" s="4">
        <f>B12/AVERAGE(B14,B15)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1" width="20.7109375" customWidth="1"/>
    <col min="2" max="4" width="18.7109375" customWidth="1"/>
  </cols>
  <sheetData>
    <row r="1" spans="1:7">
      <c r="A1" s="5" t="s">
        <v>18</v>
      </c>
    </row>
    <row r="2" spans="1:7">
      <c r="F2" t="s">
        <v>23</v>
      </c>
      <c r="G2">
        <f>Summary!B6</f>
        <v>0</v>
      </c>
    </row>
    <row r="3" spans="1:7">
      <c r="A3" t="s">
        <v>19</v>
      </c>
      <c r="B3" t="s">
        <v>20</v>
      </c>
      <c r="C3" t="s">
        <v>21</v>
      </c>
      <c r="D3" t="s">
        <v>22</v>
      </c>
      <c r="F3" t="s">
        <v>24</v>
      </c>
      <c r="G3">
        <f>Summary!B9</f>
        <v>0</v>
      </c>
    </row>
    <row r="4" spans="1:7">
      <c r="A4" t="s">
        <v>26</v>
      </c>
      <c r="B4" s="3">
        <f>G2/12</f>
        <v>0</v>
      </c>
      <c r="C4" s="3">
        <f>G3/12</f>
        <v>0</v>
      </c>
      <c r="D4" s="3">
        <f>G4/12</f>
        <v>0</v>
      </c>
      <c r="F4" t="s">
        <v>25</v>
      </c>
      <c r="G4">
        <f>Summary!B10</f>
        <v>0</v>
      </c>
    </row>
    <row r="5" spans="1:7">
      <c r="A5" t="s">
        <v>27</v>
      </c>
      <c r="B5" s="3">
        <f>G2/12</f>
        <v>0</v>
      </c>
      <c r="C5" s="3">
        <f>G3/12</f>
        <v>0</v>
      </c>
      <c r="D5" s="3">
        <f>G4/12</f>
        <v>0</v>
      </c>
    </row>
    <row r="6" spans="1:7">
      <c r="A6" t="s">
        <v>28</v>
      </c>
      <c r="B6" s="3">
        <f>G2/12</f>
        <v>0</v>
      </c>
      <c r="C6" s="3">
        <f>G3/12</f>
        <v>0</v>
      </c>
      <c r="D6" s="3">
        <f>G4/12</f>
        <v>0</v>
      </c>
    </row>
    <row r="7" spans="1:7">
      <c r="A7" t="s">
        <v>29</v>
      </c>
      <c r="B7" s="3">
        <f>G2/12</f>
        <v>0</v>
      </c>
      <c r="C7" s="3">
        <f>G3/12</f>
        <v>0</v>
      </c>
      <c r="D7" s="3">
        <f>G4/12</f>
        <v>0</v>
      </c>
    </row>
    <row r="8" spans="1:7">
      <c r="A8" t="s">
        <v>30</v>
      </c>
      <c r="B8" s="3">
        <f>G2/12</f>
        <v>0</v>
      </c>
      <c r="C8" s="3">
        <f>G3/12</f>
        <v>0</v>
      </c>
      <c r="D8" s="3">
        <f>G4/12</f>
        <v>0</v>
      </c>
    </row>
    <row r="9" spans="1:7">
      <c r="A9" t="s">
        <v>31</v>
      </c>
      <c r="B9" s="3">
        <f>G2/12</f>
        <v>0</v>
      </c>
      <c r="C9" s="3">
        <f>G3/12</f>
        <v>0</v>
      </c>
      <c r="D9" s="3">
        <f>G4/12</f>
        <v>0</v>
      </c>
    </row>
    <row r="10" spans="1:7">
      <c r="A10" t="s">
        <v>32</v>
      </c>
      <c r="B10" s="3">
        <f>G2/12</f>
        <v>0</v>
      </c>
      <c r="C10" s="3">
        <f>G3/12</f>
        <v>0</v>
      </c>
      <c r="D10" s="3">
        <f>G4/12</f>
        <v>0</v>
      </c>
    </row>
    <row r="11" spans="1:7">
      <c r="A11" t="s">
        <v>33</v>
      </c>
      <c r="B11" s="3">
        <f>G2/12</f>
        <v>0</v>
      </c>
      <c r="C11" s="3">
        <f>G3/12</f>
        <v>0</v>
      </c>
      <c r="D11" s="3">
        <f>G4/12</f>
        <v>0</v>
      </c>
    </row>
    <row r="12" spans="1:7">
      <c r="A12" t="s">
        <v>34</v>
      </c>
      <c r="B12" s="3">
        <f>G2/12</f>
        <v>0</v>
      </c>
      <c r="C12" s="3">
        <f>G3/12</f>
        <v>0</v>
      </c>
      <c r="D12" s="3">
        <f>G4/12</f>
        <v>0</v>
      </c>
    </row>
    <row r="13" spans="1:7">
      <c r="A13" t="s">
        <v>35</v>
      </c>
      <c r="B13" s="3">
        <f>G2/12</f>
        <v>0</v>
      </c>
      <c r="C13" s="3">
        <f>G3/12</f>
        <v>0</v>
      </c>
      <c r="D13" s="3">
        <f>G4/12</f>
        <v>0</v>
      </c>
    </row>
    <row r="14" spans="1:7">
      <c r="A14" t="s">
        <v>36</v>
      </c>
      <c r="B14" s="3">
        <f>G2/12</f>
        <v>0</v>
      </c>
      <c r="C14" s="3">
        <f>G3/12</f>
        <v>0</v>
      </c>
      <c r="D14" s="3">
        <f>G4/12</f>
        <v>0</v>
      </c>
    </row>
    <row r="15" spans="1:7">
      <c r="A15" t="s">
        <v>37</v>
      </c>
      <c r="B15" s="3">
        <f>G2/12</f>
        <v>0</v>
      </c>
      <c r="C15" s="3">
        <f>G3/12</f>
        <v>0</v>
      </c>
      <c r="D15" s="3">
        <f>G4/12</f>
        <v>0</v>
      </c>
    </row>
    <row r="18" spans="1:2">
      <c r="A18" s="5" t="s">
        <v>38</v>
      </c>
      <c r="B18" s="3">
        <f>Summary!B12/12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18.7109375" customWidth="1"/>
    <col min="2" max="5" width="16.7109375" customWidth="1"/>
  </cols>
  <sheetData>
    <row r="1" spans="1:5">
      <c r="A1" s="5" t="s">
        <v>39</v>
      </c>
    </row>
    <row r="2" spans="1:5">
      <c r="B2" s="5" t="s">
        <v>40</v>
      </c>
      <c r="C2" s="5" t="s">
        <v>41</v>
      </c>
      <c r="D2" s="5" t="s">
        <v>42</v>
      </c>
      <c r="E2" s="5" t="s">
        <v>43</v>
      </c>
    </row>
    <row r="3" spans="1:5">
      <c r="A3" s="5" t="s">
        <v>44</v>
      </c>
      <c r="B3" s="3">
        <f>Inputs!B2*120*365*0.6*(1-Inputs!B5-Inputs!B6)</f>
        <v>0</v>
      </c>
      <c r="C3" s="3">
        <f>Inputs!B2*150*365*0.6*(1-Inputs!B5-Inputs!B6)</f>
        <v>0</v>
      </c>
      <c r="D3" s="3">
        <f>Inputs!B2*180*365*0.6*(1-Inputs!B5-Inputs!B6)</f>
        <v>0</v>
      </c>
      <c r="E3" s="3">
        <f>Inputs!B2*210*365*0.6*(1-Inputs!B5-Inputs!B6)</f>
        <v>0</v>
      </c>
    </row>
    <row r="4" spans="1:5">
      <c r="A4" s="5" t="s">
        <v>45</v>
      </c>
      <c r="B4" s="3">
        <f>Inputs!B2*120*365*0.75*(1-Inputs!B5-Inputs!B6)</f>
        <v>0</v>
      </c>
      <c r="C4" s="3">
        <f>Inputs!B2*150*365*0.75*(1-Inputs!B5-Inputs!B6)</f>
        <v>0</v>
      </c>
      <c r="D4" s="3">
        <f>Inputs!B2*180*365*0.75*(1-Inputs!B5-Inputs!B6)</f>
        <v>0</v>
      </c>
      <c r="E4" s="3">
        <f>Inputs!B2*210*365*0.75*(1-Inputs!B5-Inputs!B6)</f>
        <v>0</v>
      </c>
    </row>
    <row r="5" spans="1:5">
      <c r="A5" s="5" t="s">
        <v>46</v>
      </c>
      <c r="B5" s="3">
        <f>Inputs!B2*120*365*0.9*(1-Inputs!B5-Inputs!B6)</f>
        <v>0</v>
      </c>
      <c r="C5" s="3">
        <f>Inputs!B2*150*365*0.9*(1-Inputs!B5-Inputs!B6)</f>
        <v>0</v>
      </c>
      <c r="D5" s="3">
        <f>Inputs!B2*180*365*0.9*(1-Inputs!B5-Inputs!B6)</f>
        <v>0</v>
      </c>
      <c r="E5" s="3">
        <f>Inputs!B2*210*365*0.9*(1-Inputs!B5-Inputs!B6)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1" width="34.7109375" customWidth="1"/>
    <col min="2" max="3" width="16.7109375" customWidth="1"/>
  </cols>
  <sheetData>
    <row r="1" spans="1:2">
      <c r="A1" s="5" t="s">
        <v>47</v>
      </c>
    </row>
    <row r="3" spans="1:2">
      <c r="A3" t="s">
        <v>48</v>
      </c>
      <c r="B3" t="s">
        <v>49</v>
      </c>
    </row>
    <row r="4" spans="1:2">
      <c r="A4" s="4">
        <v>0.01</v>
      </c>
      <c r="B4" s="3">
        <f>Summary!B12/12*A4</f>
        <v>0</v>
      </c>
    </row>
    <row r="5" spans="1:2">
      <c r="A5" s="4">
        <v>0.02</v>
      </c>
      <c r="B5" s="3">
        <f>Summary!B12/12*A5</f>
        <v>0</v>
      </c>
    </row>
    <row r="6" spans="1:2">
      <c r="A6" s="4">
        <v>0.03</v>
      </c>
      <c r="B6" s="3">
        <f>Summary!B12/12*A6</f>
        <v>0</v>
      </c>
    </row>
    <row r="7" spans="1:2">
      <c r="A7" s="4">
        <v>0.04</v>
      </c>
      <c r="B7" s="3">
        <f>Summary!B12/12*A7</f>
        <v>0</v>
      </c>
    </row>
    <row r="8" spans="1:2">
      <c r="A8" s="4">
        <v>0.05</v>
      </c>
      <c r="B8" s="3">
        <f>Summary!B12/12*A8</f>
        <v>0</v>
      </c>
    </row>
    <row r="9" spans="1:2">
      <c r="A9" s="4">
        <v>0.06</v>
      </c>
      <c r="B9" s="3">
        <f>Summary!B12/12*A9</f>
        <v>0</v>
      </c>
    </row>
    <row r="10" spans="1:2">
      <c r="A10" s="4">
        <v>0.07000000000000001</v>
      </c>
      <c r="B10" s="3">
        <f>Summary!B12/12*A10</f>
        <v>0</v>
      </c>
    </row>
    <row r="11" spans="1:2">
      <c r="A11" s="4">
        <v>0.08</v>
      </c>
      <c r="B11" s="3">
        <f>Summary!B12/12*A11</f>
        <v>0</v>
      </c>
    </row>
    <row r="12" spans="1:2">
      <c r="A12" s="4">
        <v>0.09</v>
      </c>
      <c r="B12" s="3">
        <f>Summary!B12/12*A12</f>
        <v>0</v>
      </c>
    </row>
    <row r="13" spans="1:2">
      <c r="A13" s="4">
        <v>0.1</v>
      </c>
      <c r="B13" s="3">
        <f>Summary!B12/12*A13</f>
        <v>0</v>
      </c>
    </row>
    <row r="16" spans="1:2">
      <c r="A16" s="5" t="s">
        <v>50</v>
      </c>
      <c r="B16" s="3">
        <f>Summary!B12/12*1%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Summary</vt:lpstr>
      <vt:lpstr>MonthlyProjection</vt:lpstr>
      <vt:lpstr>Sensitivity</vt:lpstr>
      <vt:lpstr>CapTable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2025-08-09T22:49:40Z</dcterms:created>
  <dcterms:modified xsi:type="dcterms:W3CDTF">2025-08-09T22:49:40Z</dcterms:modified>
</cp:coreProperties>
</file>